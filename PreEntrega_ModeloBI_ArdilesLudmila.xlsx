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c512f409190a6a/Desktop/"/>
    </mc:Choice>
  </mc:AlternateContent>
  <xr:revisionPtr revIDLastSave="1" documentId="14_{3E95BFEE-69AA-43DE-8A9C-78E4F60666CA}" xr6:coauthVersionLast="47" xr6:coauthVersionMax="47" xr10:uidLastSave="{2A9B5C34-9E7C-4CD4-86F7-C3E602DF9CB9}"/>
  <bookViews>
    <workbookView xWindow="-108" yWindow="-108" windowWidth="23256" windowHeight="12456" activeTab="1" xr2:uid="{7F68742F-B57E-4A93-A375-F467893E4116}"/>
  </bookViews>
  <sheets>
    <sheet name="Hoja2" sheetId="12" r:id="rId1"/>
    <sheet name="Hechos" sheetId="2" r:id="rId2"/>
    <sheet name="Dim- Cliente" sheetId="1" r:id="rId3"/>
    <sheet name="Dim-Productos" sheetId="3" r:id="rId4"/>
    <sheet name="Calendario" sheetId="4" r:id="rId5"/>
    <sheet name="Tabla dinamica" sheetId="5" r:id="rId6"/>
    <sheet name="Resumen del escenario" sheetId="10" r:id="rId7"/>
    <sheet name="Estadisticas" sheetId="9" r:id="rId8"/>
    <sheet name="DASHBOARD final" sheetId="11" r:id="rId9"/>
  </sheets>
  <definedNames>
    <definedName name="_xlcn.WorksheetConnection_PreEntrega_ModeloBI_ArdilesLudmila.xlsxDATOSDATOS1" hidden="1">DATOS[]</definedName>
    <definedName name="_xlcn.WorksheetConnection_PreEntrega_ModeloBI_ArdilesLudmila.xlsxTabla11" hidden="1">Tablacliente[]</definedName>
    <definedName name="_xlcn.WorksheetConnection_PreEntrega_ModeloBI_ArdilesLudmila.xlsxTablaProductos1" hidden="1">TablaProductos[]</definedName>
    <definedName name="DatosExternos_1" localSheetId="1" hidden="1">Hechos!$A$1:$I$5</definedName>
  </definedNames>
  <calcPr calcId="191029"/>
  <pivotCaches>
    <pivotCache cacheId="5" r:id="rId10"/>
    <pivotCache cacheId="6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Productos" name="Dim-Productos" connection="WorksheetConnection_PreEntrega_ModeloBI_ArdilesLudmila^.xlsx!TablaProductos"/>
          <x15:modelTable id="Tabla1" name="Dim- Cliente" connection="WorksheetConnection_PreEntrega_ModeloBI_ArdilesLudmila^.xlsx!Tabla1"/>
          <x15:modelTable id="DATOS" name="Hechos" connection="WorksheetConnection_[PreEntrega_ModeloBI_ArdilesLudmila^.xlsx]DATOS!DATOS"/>
          <x15:modelTable id="Calendar" name="Calendar" connection="Conexión"/>
        </x15:modelTables>
        <x15:modelRelationships>
          <x15:modelRelationship fromTable="Hechos" fromColumn="Fechas" toTable="Calendar" toColumn="MMM-YYYY"/>
          <x15:modelRelationship fromTable="Dim- Cliente" fromColumn="ID_Cliente_Ref" toTable="Hechos" toColumn="ID_Cliente_Ref"/>
          <x15:modelRelationship fromTable="Dim-Productos" fromColumn="ID_Transaccion" toTable="Dim- Cliente" toColumn="ID_Transacc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B17" i="9"/>
  <c r="B16" i="9"/>
  <c r="B15" i="9"/>
  <c r="B14" i="9"/>
  <c r="C16" i="2"/>
  <c r="C14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7FBDC2-AAC2-41CB-85DF-94EE62FD0902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5B7159DE-A7BB-4CCA-AFE8-71D5E11C8212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  <connection id="3" xr16:uid="{44F5CCBF-3063-417F-B556-E661E2AA3C50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B62AF7EB-DFAD-4683-9D5F-F200241177CD}" name="WorksheetConnection_[PreEntrega_ModeloBI_ArdilesLudmila^.xlsx]DATOS!DATOS" type="102" refreshedVersion="8" minRefreshableVersion="5">
    <extLst>
      <ext xmlns:x15="http://schemas.microsoft.com/office/spreadsheetml/2010/11/main" uri="{DE250136-89BD-433C-8126-D09CA5730AF9}">
        <x15:connection id="DATOS">
          <x15:rangePr sourceName="_xlcn.WorksheetConnection_PreEntrega_ModeloBI_ArdilesLudmila.xlsxDATOSDATOS1"/>
        </x15:connection>
      </ext>
    </extLst>
  </connection>
  <connection id="5" xr16:uid="{4D767064-2277-4FE8-8953-E43A5F7EEA37}" name="WorksheetConnection_PreEntrega_ModeloBI_ArdilesLudmila^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PreEntrega_ModeloBI_ArdilesLudmila.xlsxTabla11"/>
        </x15:connection>
      </ext>
    </extLst>
  </connection>
  <connection id="6" xr16:uid="{60FA19C4-C140-4257-9737-EA03C6A24C8C}" name="WorksheetConnection_PreEntrega_ModeloBI_ArdilesLudmila^.xlsx!TablaProductos" type="102" refreshedVersion="8" minRefreshableVersion="5">
    <extLst>
      <ext xmlns:x15="http://schemas.microsoft.com/office/spreadsheetml/2010/11/main" uri="{DE250136-89BD-433C-8126-D09CA5730AF9}">
        <x15:connection id="TablaProductos">
          <x15:rangePr sourceName="_xlcn.WorksheetConnection_PreEntrega_ModeloBI_ArdilesLudmila.xlsxTablaProductos1"/>
        </x15:connection>
      </ext>
    </extLst>
  </connection>
</connections>
</file>

<file path=xl/sharedStrings.xml><?xml version="1.0" encoding="utf-8"?>
<sst xmlns="http://schemas.openxmlformats.org/spreadsheetml/2006/main" count="171" uniqueCount="70">
  <si>
    <t>Fechas</t>
  </si>
  <si>
    <t>ID_Transaccion</t>
  </si>
  <si>
    <t>SKU_Codigo_Ref</t>
  </si>
  <si>
    <t>ID_Cliente_Ref</t>
  </si>
  <si>
    <t>Cantidad</t>
  </si>
  <si>
    <t xml:space="preserve"> Precio_Unitario </t>
  </si>
  <si>
    <t>Descuento</t>
  </si>
  <si>
    <t>Pais</t>
  </si>
  <si>
    <t>Producto</t>
  </si>
  <si>
    <t>TX-101399</t>
  </si>
  <si>
    <t>HOGA-02</t>
  </si>
  <si>
    <t>CLI-004</t>
  </si>
  <si>
    <t>Argentina</t>
  </si>
  <si>
    <t>Artículos De Uso Doméstico</t>
  </si>
  <si>
    <t>Notebook Pro</t>
  </si>
  <si>
    <t>TX-101937</t>
  </si>
  <si>
    <t>Mouse Ergonómico</t>
  </si>
  <si>
    <t>TX-102132</t>
  </si>
  <si>
    <t>HOGA-01</t>
  </si>
  <si>
    <t>CLI-003</t>
  </si>
  <si>
    <t>TX-102309</t>
  </si>
  <si>
    <t>LBLA-01</t>
  </si>
  <si>
    <t>CLI-005</t>
  </si>
  <si>
    <t>TX-102358</t>
  </si>
  <si>
    <t>TECN-01</t>
  </si>
  <si>
    <t>Monitor 27</t>
  </si>
  <si>
    <t>TX-102417</t>
  </si>
  <si>
    <t>CLI-001</t>
  </si>
  <si>
    <t>TX-102427</t>
  </si>
  <si>
    <t>TX-102474</t>
  </si>
  <si>
    <t>TX-102840</t>
  </si>
  <si>
    <t>TX-102881</t>
  </si>
  <si>
    <t>TX-103908</t>
  </si>
  <si>
    <t>TX-104244</t>
  </si>
  <si>
    <t>TX-104918</t>
  </si>
  <si>
    <t>Artículos Textiles/Bazar</t>
  </si>
  <si>
    <t>TX-105411</t>
  </si>
  <si>
    <t>Etiquetas de fila</t>
  </si>
  <si>
    <t>Total general</t>
  </si>
  <si>
    <t>(en blanco)</t>
  </si>
  <si>
    <t>Total de ventas</t>
  </si>
  <si>
    <t>TOTAL:</t>
  </si>
  <si>
    <t>Promedio</t>
  </si>
  <si>
    <t>MEDIANA:</t>
  </si>
  <si>
    <t>desviación estándar:</t>
  </si>
  <si>
    <t>Calcular el rango:</t>
  </si>
  <si>
    <t>Mediana</t>
  </si>
  <si>
    <t>Desviación estándar</t>
  </si>
  <si>
    <t>Rango</t>
  </si>
  <si>
    <t>ESCENARIOS</t>
  </si>
  <si>
    <t>$A$23</t>
  </si>
  <si>
    <t>PESIMISTA</t>
  </si>
  <si>
    <t>Creado por ludmila ardiles el 25/10/2026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</si>
  <si>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</si>
  <si>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</si>
  <si>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</si>
  <si>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</si>
  <si>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</si>
  <si>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</si>
  <si>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</si>
  <si>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</si>
  <si>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</si>
  <si>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DASHBOARD EJECUTIVO DE VENTAS</t>
  </si>
  <si>
    <t>VENTAS TOTALES</t>
  </si>
  <si>
    <t>MARGEN DE GANANCIA</t>
  </si>
  <si>
    <t>CRECIMIENTO ANUAL</t>
  </si>
  <si>
    <t>EVOLUCIÓN DE LAS VENTAS</t>
  </si>
  <si>
    <t>ANÁLISIS DE RENTABILIDAD</t>
  </si>
  <si>
    <t>Suma de Cantidad</t>
  </si>
  <si>
    <t xml:space="preserve">Suma de  Precio_Unitario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</si>
</sst>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14" fontId="0" fillId="3" borderId="1" xfId="0" applyNumberFormat="1" applyFill="1" applyBorder="1"/>
    <xf numFmtId="14" fontId="0" fillId="0" borderId="1" xfId="0" applyNumberFormat="1" applyBorder="1"/>
    <xf numFmtId="14" fontId="0" fillId="0" borderId="5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/>
    <xf numFmtId="2" fontId="0" fillId="0" borderId="0" xfId="0" applyNumberFormat="1"/>
    <xf numFmtId="0" fontId="0" fillId="4" borderId="0" xfId="0" applyFill="1"/>
    <xf numFmtId="0" fontId="0" fillId="5" borderId="0" xfId="0" applyFill="1"/>
    <xf numFmtId="2" fontId="0" fillId="6" borderId="0" xfId="0" applyNumberFormat="1" applyFill="1"/>
    <xf numFmtId="8" fontId="0" fillId="7" borderId="0" xfId="0" applyNumberFormat="1" applyFill="1" applyAlignment="1">
      <alignment vertical="center" wrapText="1"/>
    </xf>
    <xf numFmtId="2" fontId="0" fillId="3" borderId="1" xfId="0" applyNumberFormat="1" applyFill="1" applyBorder="1"/>
    <xf numFmtId="2" fontId="0" fillId="0" borderId="1" xfId="0" applyNumberFormat="1" applyBorder="1"/>
    <xf numFmtId="0" fontId="0" fillId="7" borderId="0" xfId="0" applyFill="1"/>
    <xf numFmtId="0" fontId="0" fillId="0" borderId="8" xfId="0" applyBorder="1"/>
    <xf numFmtId="0" fontId="4" fillId="8" borderId="9" xfId="0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0" fillId="0" borderId="10" xfId="0" applyBorder="1"/>
    <xf numFmtId="0" fontId="5" fillId="9" borderId="0" xfId="0" applyFont="1" applyFill="1" applyAlignment="1">
      <alignment horizontal="left"/>
    </xf>
    <xf numFmtId="0" fontId="6" fillId="9" borderId="10" xfId="0" applyFont="1" applyFill="1" applyBorder="1" applyAlignment="1">
      <alignment horizontal="left"/>
    </xf>
    <xf numFmtId="0" fontId="5" fillId="9" borderId="8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right"/>
    </xf>
    <xf numFmtId="0" fontId="7" fillId="8" borderId="9" xfId="0" applyFont="1" applyFill="1" applyBorder="1" applyAlignment="1">
      <alignment horizontal="right"/>
    </xf>
    <xf numFmtId="0" fontId="0" fillId="10" borderId="0" xfId="0" applyFill="1"/>
    <xf numFmtId="0" fontId="8" fillId="0" borderId="0" xfId="0" applyFont="1" applyAlignment="1">
      <alignment vertical="top" wrapText="1"/>
    </xf>
    <xf numFmtId="0" fontId="3" fillId="0" borderId="0" xfId="0" applyFont="1"/>
    <xf numFmtId="0" fontId="3" fillId="11" borderId="0" xfId="0" applyFont="1" applyFill="1"/>
    <xf numFmtId="14" fontId="0" fillId="0" borderId="0" xfId="0" applyNumberFormat="1" applyAlignment="1">
      <alignment horizontal="left"/>
    </xf>
    <xf numFmtId="2" fontId="0" fillId="0" borderId="0" xfId="1" applyNumberFormat="1" applyFont="1" applyFill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22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dmila ardiles" refreshedDate="46320.781365277777" createdVersion="8" refreshedVersion="8" minRefreshableVersion="3" recordCount="4" xr:uid="{D3709C56-4243-4578-A4A5-857ECB39EA7D}">
  <cacheSource type="worksheet">
    <worksheetSource name="DATOS"/>
  </cacheSource>
  <cacheFields count="12">
    <cacheField name="Fechas" numFmtId="14">
      <sharedItems containsSemiMixedTypes="0" containsNonDate="0" containsDate="1" containsString="0" minDate="2026-01-01T00:00:00" maxDate="2026-01-08T00:00:00" count="4">
        <d v="2026-01-01T00:00:00"/>
        <d v="2026-01-04T00:00:00"/>
        <d v="2026-01-05T00:00:00"/>
        <d v="2026-01-07T00:00:00"/>
      </sharedItems>
    </cacheField>
    <cacheField name="ID_Transaccion" numFmtId="0">
      <sharedItems/>
    </cacheField>
    <cacheField name="SKU_Codigo_Ref" numFmtId="0">
      <sharedItems/>
    </cacheField>
    <cacheField name="ID_Cliente_Ref" numFmtId="0">
      <sharedItems/>
    </cacheField>
    <cacheField name="Cantidad" numFmtId="0">
      <sharedItems containsSemiMixedTypes="0" containsString="0" containsNumber="1" containsInteger="1" minValue="1" maxValue="10"/>
    </cacheField>
    <cacheField name=" Precio_Unitario " numFmtId="2">
      <sharedItems containsSemiMixedTypes="0" containsString="0" containsNumber="1" containsInteger="1" minValue="289599" maxValue="838188"/>
    </cacheField>
    <cacheField name="Descuento" numFmtId="0">
      <sharedItems containsSemiMixedTypes="0" containsString="0" containsNumber="1" containsInteger="1" minValue="0" maxValue="8"/>
    </cacheField>
    <cacheField name="Pais" numFmtId="0">
      <sharedItems/>
    </cacheField>
    <cacheField name="Producto" numFmtId="0">
      <sharedItems/>
    </cacheField>
    <cacheField name="Ventas Netas" numFmtId="164">
      <sharedItems containsSemiMixedTypes="0" containsString="0" containsNumber="1" minValue="289599" maxValue="7711329.5999999996"/>
    </cacheField>
    <cacheField name="Total de ventas" numFmtId="8">
      <sharedItems containsSemiMixedTypes="0" containsString="0" containsNumber="1" containsInteger="1" minValue="289599" maxValue="8381880"/>
    </cacheField>
    <cacheField name="Margen de ganancia" numFmtId="0">
      <sharedItems containsSemiMixedTypes="0" containsString="0" containsNumber="1" minValue="289599" maxValue="7711329.600000000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mila ardiles" refreshedDate="46323.749996412036" createdVersion="5" refreshedVersion="8" minRefreshableVersion="3" recordCount="0" supportSubquery="1" supportAdvancedDrill="1" xr:uid="{0D7E7C41-2867-4EFD-BE71-2EC74891D9E7}">
  <cacheSource type="external" connectionId="3"/>
  <cacheFields count="3">
    <cacheField name="[Dim-Productos].[Producto].[Producto]" caption="Producto" numFmtId="0" hierarchy="12" level="1">
      <sharedItems count="5">
        <s v="Artículos De Uso Doméstico"/>
        <s v="Artículos Textiles/Bazar"/>
        <s v="Monitor 27"/>
        <s v="Mouse Ergonómico"/>
        <s v="Notebook Pro"/>
      </sharedItems>
    </cacheField>
    <cacheField name="[Dim-Productos].[Pais].[Pais]" caption="Pais" numFmtId="0" hierarchy="13" level="1">
      <sharedItems count="1">
        <s v="Argentina"/>
      </sharedItems>
    </cacheField>
    <cacheField name="[Dim- Cliente].[ID_Cliente_Ref].[ID_Cliente_Ref]" caption="ID_Cliente_Ref" numFmtId="0" hierarchy="9" level="1">
      <sharedItems containsBlank="1" count="5">
        <s v="CLI-001"/>
        <s v="CLI-003"/>
        <s v="CLI-004"/>
        <s v="CLI-005"/>
        <m/>
      </sharedItems>
    </cacheField>
  </cacheFields>
  <cacheHierarchies count="31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130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- Cliente].[ID_Transaccion]" caption="ID_Transaccion" attribute="1" defaultMemberUniqueName="[Dim- Cliente].[ID_Transaccion].[All]" allUniqueName="[Dim- Cliente].[ID_Transaccion].[All]" dimensionUniqueName="[Dim- Cliente]" displayFolder="" count="0" memberValueDatatype="130" unbalanced="0"/>
    <cacheHierarchy uniqueName="[Dim- Cliente].[ID_Cliente_Ref]" caption="ID_Cliente_Ref" attribute="1" defaultMemberUniqueName="[Dim- Cliente].[ID_Cliente_Ref].[All]" allUniqueName="[Dim- Cliente].[ID_Cliente_Ref].[All]" dimensionUniqueName="[Dim- Cliente]" displayFolder="" count="2" memberValueDatatype="130" unbalanced="0">
      <fieldsUsage count="2">
        <fieldUsage x="-1"/>
        <fieldUsage x="2"/>
      </fieldsUsage>
    </cacheHierarchy>
    <cacheHierarchy uniqueName="[Dim- Cliente].[Pais]" caption="Pais" attribute="1" defaultMemberUniqueName="[Dim- Cliente].[Pais].[All]" allUniqueName="[Dim- Cliente].[Pais].[All]" dimensionUniqueName="[Dim- Cliente]" displayFolder="" count="0" memberValueDatatype="130" unbalanced="0"/>
    <cacheHierarchy uniqueName="[Dim-Productos].[ID_Transaccion]" caption="ID_Transaccion" attribute="1" defaultMemberUniqueName="[Dim-Productos].[ID_Transaccion].[All]" allUniqueName="[Dim-Productos].[ID_Transaccion].[All]" dimensionUniqueName="[Dim-Productos]" displayFolder="" count="0" memberValueDatatype="130" unbalanced="0"/>
    <cacheHierarchy uniqueName="[Dim-Productos].[Producto]" caption="Producto" attribute="1" defaultMemberUniqueName="[Dim-Productos].[Producto].[All]" allUniqueName="[Dim-Productos].[Producto].[All]" dimensionUniqueName="[Dim-Productos]" displayFolder="" count="2" memberValueDatatype="130" unbalanced="0">
      <fieldsUsage count="2">
        <fieldUsage x="-1"/>
        <fieldUsage x="0"/>
      </fieldsUsage>
    </cacheHierarchy>
    <cacheHierarchy uniqueName="[Dim-Productos].[Pais]" caption="Pais" attribute="1" defaultMemberUniqueName="[Dim-Productos].[Pais].[All]" allUniqueName="[Dim-Productos].[Pais].[All]" dimensionUniqueName="[Dim-Productos]" displayFolder="" count="2" memberValueDatatype="130" unbalanced="0">
      <fieldsUsage count="2">
        <fieldUsage x="-1"/>
        <fieldUsage x="1"/>
      </fieldsUsage>
    </cacheHierarchy>
    <cacheHierarchy uniqueName="[Hechos].[Fechas]" caption="Fechas" attribute="1" time="1" defaultMemberUniqueName="[Hechos].[Fechas].[All]" allUniqueName="[Hechos].[Fechas].[All]" dimensionUniqueName="[Hechos]" displayFolder="" count="0" memberValueDatatype="7" unbalanced="0"/>
    <cacheHierarchy uniqueName="[Hechos].[ID_Transaccion]" caption="ID_Transaccion" attribute="1" defaultMemberUniqueName="[Hechos].[ID_Transaccion].[All]" allUniqueName="[Hechos].[ID_Transaccion].[All]" dimensionUniqueName="[Hechos]" displayFolder="" count="0" memberValueDatatype="130" unbalanced="0"/>
    <cacheHierarchy uniqueName="[Hechos].[SKU_Codigo_Ref]" caption="SKU_Codigo_Ref" attribute="1" defaultMemberUniqueName="[Hechos].[SKU_Codigo_Ref].[All]" allUniqueName="[Hechos].[SKU_Codigo_Ref].[All]" dimensionUniqueName="[Hechos]" displayFolder="" count="0" memberValueDatatype="130" unbalanced="0"/>
    <cacheHierarchy uniqueName="[Hechos].[ID_Cliente_Ref]" caption="ID_Cliente_Ref" attribute="1" defaultMemberUniqueName="[Hechos].[ID_Cliente_Ref].[All]" allUniqueName="[Hechos].[ID_Cliente_Ref].[All]" dimensionUniqueName="[Hechos]" displayFolder="" count="0" memberValueDatatype="130" unbalanced="0"/>
    <cacheHierarchy uniqueName="[Hechos].[Cantidad]" caption="Cantidad" attribute="1" defaultMemberUniqueName="[Hechos].[Cantidad].[All]" allUniqueName="[Hechos].[Cantidad].[All]" dimensionUniqueName="[Hechos]" displayFolder="" count="0" memberValueDatatype="20" unbalanced="0"/>
    <cacheHierarchy uniqueName="[Hechos].[Precio_Unitario]" caption="Precio_Unitario" attribute="1" defaultMemberUniqueName="[Hechos].[Precio_Unitario].[All]" allUniqueName="[Hechos].[Precio_Unitario].[All]" dimensionUniqueName="[Hechos]" displayFolder="" count="0" memberValueDatatype="20" unbalanced="0"/>
    <cacheHierarchy uniqueName="[Hechos].[Descuento]" caption="Descuento" attribute="1" defaultMemberUniqueName="[Hechos].[Descuento].[All]" allUniqueName="[Hechos].[Descuento].[All]" dimensionUniqueName="[Hechos]" displayFolder="" count="0" memberValueDatatype="20" unbalanced="0"/>
    <cacheHierarchy uniqueName="[Hechos].[Pais]" caption="Pais" attribute="1" defaultMemberUniqueName="[Hechos].[Pais].[All]" allUniqueName="[Hechos].[Pais].[All]" dimensionUniqueName="[Hechos]" displayFolder="" count="0" memberValueDatatype="130" unbalanced="0"/>
    <cacheHierarchy uniqueName="[Hechos].[Producto]" caption="Producto" attribute="1" defaultMemberUniqueName="[Hechos].[Producto].[All]" allUniqueName="[Hechos].[Producto].[All]" dimensionUniqueName="[Hechos]" displayFolder="" count="0" memberValueDatatype="130" unbalanced="0"/>
    <cacheHierarchy uniqueName="[Measures].[Total Ventas]" caption="Total Ventas" measure="1" displayFolder="" measureGroup="Hechos" count="0"/>
    <cacheHierarchy uniqueName="[Measures].[Ventasnetas]" caption="Ventasnetas" measure="1" displayFolder="" measureGroup="Hechos" count="0"/>
    <cacheHierarchy uniqueName="[Measures].[Margen de ganancia]" caption="Margen de ganancia" measure="1" displayFolder="" measureGroup="Hechos" count="0"/>
    <cacheHierarchy uniqueName="[Measures].[__XL_Count DATOS]" caption="__XL_Count DATOS" measure="1" displayFolder="" measureGroup="Hechos" count="0" hidden="1"/>
    <cacheHierarchy uniqueName="[Measures].[__XL_Count Tabla1]" caption="__XL_Count Tabla1" measure="1" displayFolder="" measureGroup="Dim- Cliente" count="0" hidden="1"/>
    <cacheHierarchy uniqueName="[Measures].[__XL_Count TablaProductos]" caption="__XL_Count TablaProductos" measure="1" displayFolder="" measureGroup="Dim-Producto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5">
    <dimension name="Calendar" uniqueName="[Calendar]" caption="Calendar"/>
    <dimension name="Dim- Cliente" uniqueName="[Dim- Cliente]" caption="Dim- Cliente"/>
    <dimension name="Dim-Productos" uniqueName="[Dim-Productos]" caption="Dim-Productos"/>
    <dimension name="Hechos" uniqueName="[Hechos]" caption="Hechos"/>
    <dimension measure="1" name="Measures" uniqueName="[Measures]" caption="Measures"/>
  </dimensions>
  <measureGroups count="4">
    <measureGroup name="Calendar" caption="Calendar"/>
    <measureGroup name="Dim- Cliente" caption="Dim- Cliente"/>
    <measureGroup name="Dim-Productos" caption="Dim-Productos"/>
    <measureGroup name="Hechos" caption="Hechos"/>
  </measureGroups>
  <maps count="10">
    <map measureGroup="0" dimension="0"/>
    <map measureGroup="1" dimension="0"/>
    <map measureGroup="1" dimension="1"/>
    <map measureGroup="1" dimension="3"/>
    <map measureGroup="2" dimension="0"/>
    <map measureGroup="2" dimension="1"/>
    <map measureGroup="2" dimension="2"/>
    <map measureGroup="2" dimension="3"/>
    <map measureGroup="3" dimension="0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TX-101399"/>
    <s v="HOGA-02"/>
    <s v="CLI-004"/>
    <n v="10"/>
    <n v="838188"/>
    <n v="8"/>
    <s v="Argentina"/>
    <s v="Artículos De Uso Doméstico"/>
    <n v="7711329.5999999996"/>
    <n v="8381880"/>
    <n v="7711329.6000000006"/>
  </r>
  <r>
    <x v="1"/>
    <s v="TX-102132"/>
    <s v="HOGA-01"/>
    <s v="CLI-003"/>
    <n v="8"/>
    <n v="426039"/>
    <n v="0"/>
    <s v="Argentina"/>
    <s v="Artículos De Uso Doméstico"/>
    <n v="3408312"/>
    <n v="3408312"/>
    <n v="3408312"/>
  </r>
  <r>
    <x v="2"/>
    <s v="TX-102309"/>
    <s v="LBLA-01"/>
    <s v="CLI-005"/>
    <n v="1"/>
    <n v="289599"/>
    <n v="0"/>
    <s v="Argentina"/>
    <s v="Mouse Ergonómico"/>
    <n v="289599"/>
    <n v="289599"/>
    <n v="289599"/>
  </r>
  <r>
    <x v="3"/>
    <s v="TX-102417"/>
    <s v="TECN-01"/>
    <s v="CLI-001"/>
    <n v="5"/>
    <n v="519345"/>
    <n v="4"/>
    <s v="Argentina"/>
    <s v="Mouse Ergonómico"/>
    <n v="2492856"/>
    <n v="2596725"/>
    <n v="24928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8FE86-7EEE-40D2-8BB4-CDFB030D1B4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" firstHeaderRow="0" firstDataRow="1" firstDataCol="1"/>
  <pivotFields count="12">
    <pivotField axis="axisRow"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numFmtId="2" showAll="0"/>
    <pivotField showAll="0"/>
    <pivotField showAll="0"/>
    <pivotField showAll="0"/>
    <pivotField numFmtId="164" showAll="0"/>
    <pivotField numFmtId="8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4" baseField="0" baseItem="0"/>
    <dataField name="Suma de  Precio_Unitario 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3742D-82C5-498D-9E07-D58A5E708F39}" name="TablaDinámica1" cacheId="6" applyNumberFormats="0" applyBorderFormats="0" applyFontFormats="0" applyPatternFormats="0" applyAlignmentFormats="0" applyWidthHeightFormats="1" dataCaption="Valores" tag="84b68a5a-b848-47aa-abef-4d848592df89" updatedVersion="8" minRefreshableVersion="3" useAutoFormatting="1" itemPrintTitles="1" createdVersion="5" indent="0" outline="1" outlineData="1" multipleFieldFilters="0">
  <location ref="B3:B39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3">
    <field x="0"/>
    <field x="1"/>
    <field x="2"/>
  </rowFields>
  <rowItems count="36">
    <i>
      <x/>
    </i>
    <i r="1">
      <x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t="grand">
      <x/>
    </i>
  </rowItems>
  <pivotHierarchies count="31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2"/>
    <rowHierarchyUsage hierarchyUsage="13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-Productos]"/>
        <x15:activeTabTopLevelEntity name="[Dim- Clien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2977871-E060-4F7B-B37D-C04882401502}" autoFormatId="16" applyNumberFormats="0" applyBorderFormats="0" applyFontFormats="0" applyPatternFormats="0" applyAlignmentFormats="0" applyWidthHeightFormats="0">
  <queryTableRefresh nextId="15" unboundColumnsRight="1">
    <queryTableFields count="10">
      <queryTableField id="1" name="Fechas" tableColumnId="1"/>
      <queryTableField id="2" name="ID_Transaccion" tableColumnId="2"/>
      <queryTableField id="3" name="SKU_Codigo_Ref" tableColumnId="3"/>
      <queryTableField id="4" name="ID_Cliente_Ref" tableColumnId="4"/>
      <queryTableField id="5" name="Cantidad" tableColumnId="5"/>
      <queryTableField id="6" name=" Precio_Unitario " tableColumnId="6"/>
      <queryTableField id="7" name="Descuento" tableColumnId="7"/>
      <queryTableField id="8" name="Pais" tableColumnId="8"/>
      <queryTableField id="9" name="Producto" tableColumnId="9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55260-34D8-4BAE-A67D-C8470D757A7C}" name="DATOS" displayName="DATOS" ref="A1:J5" tableType="queryTable" totalsRowShown="0">
  <autoFilter ref="A1:J5" xr:uid="{6FC55260-34D8-4BAE-A67D-C8470D757A7C}"/>
  <tableColumns count="10">
    <tableColumn id="1" xr3:uid="{F798E390-E592-400D-B410-8C33041E8C34}" uniqueName="1" name="Fechas" queryTableFieldId="1" dataDxfId="21"/>
    <tableColumn id="2" xr3:uid="{9C4E269F-4616-4D4F-B7E7-56CEF06E670E}" uniqueName="2" name="ID_Transaccion" queryTableFieldId="2" dataDxfId="20"/>
    <tableColumn id="3" xr3:uid="{766DACA1-2505-433E-BC9B-BA26FA6CBEA6}" uniqueName="3" name="SKU_Codigo_Ref" queryTableFieldId="3" dataDxfId="19"/>
    <tableColumn id="4" xr3:uid="{DF809736-9F78-4001-9662-19DB98FFD8AF}" uniqueName="4" name="ID_Cliente_Ref" queryTableFieldId="4" dataDxfId="18"/>
    <tableColumn id="5" xr3:uid="{C56E5122-1A6E-4411-81E0-27D555138419}" uniqueName="5" name="Cantidad" queryTableFieldId="5"/>
    <tableColumn id="6" xr3:uid="{C64E1BC1-E5D0-4F4E-B6CB-2FC0506BB5C6}" uniqueName="6" name=" Precio_Unitario " queryTableFieldId="6"/>
    <tableColumn id="7" xr3:uid="{53E4787C-E718-44B2-BFDC-C14C4779DDE4}" uniqueName="7" name="Descuento" queryTableFieldId="7"/>
    <tableColumn id="8" xr3:uid="{49B6661B-024C-46D5-9C8C-28EDC296B0E1}" uniqueName="8" name="Pais" queryTableFieldId="8" dataDxfId="17"/>
    <tableColumn id="9" xr3:uid="{4362FDEC-E7F7-424A-A9EA-0514686F720D}" uniqueName="9" name="Producto" queryTableFieldId="9" dataDxfId="16"/>
    <tableColumn id="11" xr3:uid="{C8227A4E-D42D-4B97-ACD1-0106F0A8D666}" uniqueName="11" name="Total de ventas" queryTableFieldId="11" dataDxfId="15">
      <calculatedColumnFormula>E2*F2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DB771-83FF-4B9C-93ED-11BE5800B240}" name="Tablacliente" displayName="Tablacliente" ref="A1:C5" totalsRowShown="0" headerRowDxfId="14" headerRowBorderDxfId="13" tableBorderDxfId="12" totalsRowBorderDxfId="11">
  <autoFilter ref="A1:C5" xr:uid="{10CDB771-83FF-4B9C-93ED-11BE5800B240}"/>
  <tableColumns count="3">
    <tableColumn id="1" xr3:uid="{BA8632A1-0B6F-4100-A202-1B57A16AE3FB}" name="ID_Transaccion"/>
    <tableColumn id="2" xr3:uid="{E9A104A6-B39C-43D0-9886-DC47C2604BBE}" name="ID_Cliente_Ref"/>
    <tableColumn id="3" xr3:uid="{1D8D0EEF-985E-4EFA-B519-1FBCFB818E59}" name="Pa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91779-2C1A-4863-8944-41B405036C28}" name="TablaProductos" displayName="TablaProductos" ref="A1:C16" totalsRowShown="0" headerRowDxfId="10" headerRowBorderDxfId="9" tableBorderDxfId="8" totalsRowBorderDxfId="7">
  <autoFilter ref="A1:C16" xr:uid="{48291779-2C1A-4863-8944-41B405036C28}"/>
  <tableColumns count="3">
    <tableColumn id="1" xr3:uid="{F1874B7E-8228-425B-94D6-7037CCFC1466}" name="ID_Transaccion" dataDxfId="6"/>
    <tableColumn id="2" xr3:uid="{B7633D20-369B-4AC8-AD53-5154D821EA29}" name="Producto" dataDxfId="5"/>
    <tableColumn id="3" xr3:uid="{FC3977F5-29F0-4A4C-AE52-D69A1EA62255}" name="Pai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0D73C0-0796-4704-908B-A23466680CB5}" name="Tablacalendario" displayName="Tablacalendario" ref="A1:B5" totalsRowShown="0" headerRowDxfId="3" headerRowBorderDxfId="2" tableBorderDxfId="1" totalsRowBorderDxfId="0">
  <autoFilter ref="A1:B5" xr:uid="{F70D73C0-0796-4704-908B-A23466680CB5}"/>
  <tableColumns count="2">
    <tableColumn id="1" xr3:uid="{FB59727D-DC1E-4232-9298-895D132AA1B8}" name="Fechas"/>
    <tableColumn id="2" xr3:uid="{7F5B3E5B-B18B-426B-8FAF-7D0768082CA3}" name="ID_Transa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BD3A-3F5E-4370-9E52-9F9F4D70B9D6}">
  <dimension ref="A3:C8"/>
  <sheetViews>
    <sheetView workbookViewId="0">
      <selection activeCell="C6" sqref="C6"/>
    </sheetView>
  </sheetViews>
  <sheetFormatPr baseColWidth="10" defaultRowHeight="14.4" x14ac:dyDescent="0.3"/>
  <cols>
    <col min="1" max="1" width="16.5546875" bestFit="1" customWidth="1"/>
    <col min="2" max="2" width="16.33203125" bestFit="1" customWidth="1"/>
    <col min="3" max="3" width="22.21875" bestFit="1" customWidth="1"/>
  </cols>
  <sheetData>
    <row r="3" spans="1:3" x14ac:dyDescent="0.3">
      <c r="A3" s="15" t="s">
        <v>37</v>
      </c>
      <c r="B3" t="s">
        <v>68</v>
      </c>
      <c r="C3" t="s">
        <v>69</v>
      </c>
    </row>
    <row r="4" spans="1:3" x14ac:dyDescent="0.3">
      <c r="A4" s="43">
        <v>46023</v>
      </c>
      <c r="B4">
        <v>10</v>
      </c>
      <c r="C4" s="22">
        <v>838188</v>
      </c>
    </row>
    <row r="5" spans="1:3" x14ac:dyDescent="0.3">
      <c r="A5" s="43">
        <v>46026</v>
      </c>
      <c r="B5">
        <v>8</v>
      </c>
      <c r="C5" s="22">
        <v>426039</v>
      </c>
    </row>
    <row r="6" spans="1:3" x14ac:dyDescent="0.3">
      <c r="A6" s="43">
        <v>46027</v>
      </c>
      <c r="B6">
        <v>1</v>
      </c>
      <c r="C6" s="22">
        <v>289599</v>
      </c>
    </row>
    <row r="7" spans="1:3" x14ac:dyDescent="0.3">
      <c r="A7" s="43">
        <v>46029</v>
      </c>
      <c r="B7">
        <v>5</v>
      </c>
      <c r="C7" s="22">
        <v>519345</v>
      </c>
    </row>
    <row r="8" spans="1:3" x14ac:dyDescent="0.3">
      <c r="A8" s="43" t="s">
        <v>38</v>
      </c>
      <c r="B8">
        <v>24</v>
      </c>
      <c r="C8" s="22">
        <v>2073171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044D-7B10-40D9-B432-565C58F0D0C3}">
  <dimension ref="A1:J16"/>
  <sheetViews>
    <sheetView tabSelected="1" workbookViewId="0">
      <selection activeCell="I7" sqref="I7"/>
    </sheetView>
  </sheetViews>
  <sheetFormatPr baseColWidth="10" defaultRowHeight="14.4" x14ac:dyDescent="0.3"/>
  <cols>
    <col min="1" max="1" width="17.5546875" customWidth="1"/>
    <col min="2" max="2" width="15.77734375" bestFit="1" customWidth="1"/>
    <col min="3" max="3" width="16.6640625" bestFit="1" customWidth="1"/>
    <col min="4" max="4" width="15.21875" bestFit="1" customWidth="1"/>
    <col min="5" max="5" width="10.88671875" bestFit="1" customWidth="1"/>
    <col min="6" max="6" width="16.6640625" bestFit="1" customWidth="1"/>
    <col min="7" max="7" width="12" bestFit="1" customWidth="1"/>
    <col min="8" max="8" width="8.6640625" bestFit="1" customWidth="1"/>
    <col min="9" max="9" width="23.33203125" bestFit="1" customWidth="1"/>
    <col min="10" max="10" width="17.33203125" customWidth="1"/>
    <col min="11" max="11" width="17.21875" customWidth="1"/>
    <col min="12" max="12" width="2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40</v>
      </c>
    </row>
    <row r="2" spans="1:10" x14ac:dyDescent="0.3">
      <c r="A2" s="1">
        <v>46023</v>
      </c>
      <c r="B2" t="s">
        <v>9</v>
      </c>
      <c r="C2" t="s">
        <v>10</v>
      </c>
      <c r="D2" t="s">
        <v>11</v>
      </c>
      <c r="E2">
        <v>10</v>
      </c>
      <c r="F2" s="22">
        <v>838188</v>
      </c>
      <c r="G2">
        <v>8</v>
      </c>
      <c r="H2" t="s">
        <v>12</v>
      </c>
      <c r="I2" t="s">
        <v>13</v>
      </c>
      <c r="J2" s="21">
        <f>E2*F2</f>
        <v>8381880</v>
      </c>
    </row>
    <row r="3" spans="1:10" x14ac:dyDescent="0.3">
      <c r="A3" s="1">
        <v>46026</v>
      </c>
      <c r="B3" t="s">
        <v>17</v>
      </c>
      <c r="C3" t="s">
        <v>18</v>
      </c>
      <c r="D3" t="s">
        <v>19</v>
      </c>
      <c r="E3">
        <v>8</v>
      </c>
      <c r="F3" s="22">
        <v>426039</v>
      </c>
      <c r="G3">
        <v>0</v>
      </c>
      <c r="H3" t="s">
        <v>12</v>
      </c>
      <c r="I3" t="s">
        <v>13</v>
      </c>
      <c r="J3" s="21">
        <f t="shared" ref="J3:J5" si="0">E3*F3</f>
        <v>3408312</v>
      </c>
    </row>
    <row r="4" spans="1:10" x14ac:dyDescent="0.3">
      <c r="A4" s="1">
        <v>46027</v>
      </c>
      <c r="B4" t="s">
        <v>20</v>
      </c>
      <c r="C4" t="s">
        <v>21</v>
      </c>
      <c r="D4" t="s">
        <v>22</v>
      </c>
      <c r="E4">
        <v>1</v>
      </c>
      <c r="F4" s="22">
        <v>289599</v>
      </c>
      <c r="G4">
        <v>0</v>
      </c>
      <c r="H4" t="s">
        <v>12</v>
      </c>
      <c r="I4" t="s">
        <v>16</v>
      </c>
      <c r="J4" s="21">
        <f t="shared" si="0"/>
        <v>289599</v>
      </c>
    </row>
    <row r="5" spans="1:10" x14ac:dyDescent="0.3">
      <c r="A5" s="1">
        <v>46029</v>
      </c>
      <c r="B5" t="s">
        <v>26</v>
      </c>
      <c r="C5" t="s">
        <v>24</v>
      </c>
      <c r="D5" t="s">
        <v>27</v>
      </c>
      <c r="E5">
        <v>5</v>
      </c>
      <c r="F5" s="22">
        <v>519345</v>
      </c>
      <c r="G5">
        <v>4</v>
      </c>
      <c r="H5" t="s">
        <v>12</v>
      </c>
      <c r="I5" t="s">
        <v>16</v>
      </c>
      <c r="J5" s="21">
        <f t="shared" si="0"/>
        <v>2596725</v>
      </c>
    </row>
    <row r="8" spans="1:10" x14ac:dyDescent="0.3">
      <c r="A8" t="s">
        <v>41</v>
      </c>
      <c r="B8" s="20"/>
      <c r="C8" s="20"/>
      <c r="D8" s="20"/>
      <c r="E8" s="20"/>
      <c r="F8" s="26">
        <v>13902096.6</v>
      </c>
    </row>
    <row r="10" spans="1:10" x14ac:dyDescent="0.3">
      <c r="C10" s="44"/>
    </row>
    <row r="12" spans="1:10" x14ac:dyDescent="0.3">
      <c r="A12" t="s">
        <v>43</v>
      </c>
      <c r="C12" s="25">
        <f>MEDIAN(F2:F5)</f>
        <v>472692</v>
      </c>
    </row>
    <row r="14" spans="1:10" x14ac:dyDescent="0.3">
      <c r="A14" t="s">
        <v>44</v>
      </c>
      <c r="C14" s="24">
        <f>_xlfn.STDEV.S(A2:A5)</f>
        <v>2.5</v>
      </c>
    </row>
    <row r="16" spans="1:10" x14ac:dyDescent="0.3">
      <c r="A16" t="s">
        <v>45</v>
      </c>
      <c r="C16" s="23">
        <f>MAX(A2:A5)-MIN(A2:A5)</f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F584-FDFD-4E83-921A-A08B51D4C4EB}">
  <dimension ref="A1:C5"/>
  <sheetViews>
    <sheetView workbookViewId="0">
      <selection activeCell="C26" sqref="C26"/>
    </sheetView>
  </sheetViews>
  <sheetFormatPr baseColWidth="10" defaultRowHeight="14.4" x14ac:dyDescent="0.3"/>
  <cols>
    <col min="1" max="1" width="17.109375" customWidth="1"/>
    <col min="2" max="2" width="16.6640625" customWidth="1"/>
    <col min="3" max="3" width="18.44140625" customWidth="1"/>
  </cols>
  <sheetData>
    <row r="1" spans="1:3" x14ac:dyDescent="0.3">
      <c r="A1" s="7" t="s">
        <v>1</v>
      </c>
      <c r="B1" s="7" t="s">
        <v>3</v>
      </c>
      <c r="C1" s="7" t="s">
        <v>7</v>
      </c>
    </row>
    <row r="2" spans="1:3" x14ac:dyDescent="0.3">
      <c r="A2" s="3" t="s">
        <v>9</v>
      </c>
      <c r="B2" s="3" t="s">
        <v>11</v>
      </c>
      <c r="C2" s="3" t="s">
        <v>12</v>
      </c>
    </row>
    <row r="3" spans="1:3" x14ac:dyDescent="0.3">
      <c r="A3" s="4" t="s">
        <v>17</v>
      </c>
      <c r="B3" s="4" t="s">
        <v>19</v>
      </c>
      <c r="C3" s="4" t="s">
        <v>12</v>
      </c>
    </row>
    <row r="4" spans="1:3" x14ac:dyDescent="0.3">
      <c r="A4" s="3" t="s">
        <v>20</v>
      </c>
      <c r="B4" s="3" t="s">
        <v>22</v>
      </c>
      <c r="C4" s="3" t="s">
        <v>12</v>
      </c>
    </row>
    <row r="5" spans="1:3" x14ac:dyDescent="0.3">
      <c r="A5" s="11" t="s">
        <v>26</v>
      </c>
      <c r="B5" s="11" t="s">
        <v>27</v>
      </c>
      <c r="C5" s="11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54F9-B7D3-4350-A510-AD9A1849C7E0}">
  <dimension ref="A1:C16"/>
  <sheetViews>
    <sheetView workbookViewId="0">
      <selection activeCell="E10" sqref="E10"/>
    </sheetView>
  </sheetViews>
  <sheetFormatPr baseColWidth="10" defaultRowHeight="14.4" x14ac:dyDescent="0.3"/>
  <cols>
    <col min="1" max="1" width="20.44140625" customWidth="1"/>
    <col min="2" max="2" width="24.77734375" customWidth="1"/>
    <col min="3" max="3" width="18.44140625" customWidth="1"/>
  </cols>
  <sheetData>
    <row r="1" spans="1:3" x14ac:dyDescent="0.3">
      <c r="A1" s="7" t="s">
        <v>1</v>
      </c>
      <c r="B1" s="8" t="s">
        <v>8</v>
      </c>
      <c r="C1" s="7" t="s">
        <v>7</v>
      </c>
    </row>
    <row r="2" spans="1:3" x14ac:dyDescent="0.3">
      <c r="A2" s="3" t="s">
        <v>9</v>
      </c>
      <c r="B2" s="5" t="s">
        <v>13</v>
      </c>
      <c r="C2" s="3" t="s">
        <v>12</v>
      </c>
    </row>
    <row r="3" spans="1:3" x14ac:dyDescent="0.3">
      <c r="A3" s="4" t="s">
        <v>9</v>
      </c>
      <c r="B3" s="6" t="s">
        <v>14</v>
      </c>
      <c r="C3" s="4" t="s">
        <v>12</v>
      </c>
    </row>
    <row r="4" spans="1:3" x14ac:dyDescent="0.3">
      <c r="A4" s="3" t="s">
        <v>15</v>
      </c>
      <c r="B4" s="5" t="s">
        <v>16</v>
      </c>
      <c r="C4" s="3" t="s">
        <v>12</v>
      </c>
    </row>
    <row r="5" spans="1:3" x14ac:dyDescent="0.3">
      <c r="A5" s="4" t="s">
        <v>17</v>
      </c>
      <c r="B5" s="6" t="s">
        <v>13</v>
      </c>
      <c r="C5" s="4" t="s">
        <v>12</v>
      </c>
    </row>
    <row r="6" spans="1:3" x14ac:dyDescent="0.3">
      <c r="A6" s="3" t="s">
        <v>20</v>
      </c>
      <c r="B6" s="5" t="s">
        <v>16</v>
      </c>
      <c r="C6" s="3" t="s">
        <v>12</v>
      </c>
    </row>
    <row r="7" spans="1:3" x14ac:dyDescent="0.3">
      <c r="A7" s="4" t="s">
        <v>23</v>
      </c>
      <c r="B7" s="6" t="s">
        <v>25</v>
      </c>
      <c r="C7" s="4" t="s">
        <v>12</v>
      </c>
    </row>
    <row r="8" spans="1:3" x14ac:dyDescent="0.3">
      <c r="A8" s="3" t="s">
        <v>26</v>
      </c>
      <c r="B8" s="5" t="s">
        <v>16</v>
      </c>
      <c r="C8" s="3" t="s">
        <v>12</v>
      </c>
    </row>
    <row r="9" spans="1:3" x14ac:dyDescent="0.3">
      <c r="A9" s="4" t="s">
        <v>28</v>
      </c>
      <c r="B9" s="6" t="s">
        <v>13</v>
      </c>
      <c r="C9" s="4" t="s">
        <v>12</v>
      </c>
    </row>
    <row r="10" spans="1:3" x14ac:dyDescent="0.3">
      <c r="A10" s="3" t="s">
        <v>29</v>
      </c>
      <c r="B10" s="5" t="s">
        <v>25</v>
      </c>
      <c r="C10" s="3" t="s">
        <v>12</v>
      </c>
    </row>
    <row r="11" spans="1:3" x14ac:dyDescent="0.3">
      <c r="A11" s="4" t="s">
        <v>30</v>
      </c>
      <c r="B11" s="6" t="s">
        <v>14</v>
      </c>
      <c r="C11" s="4" t="s">
        <v>12</v>
      </c>
    </row>
    <row r="12" spans="1:3" x14ac:dyDescent="0.3">
      <c r="A12" s="3" t="s">
        <v>31</v>
      </c>
      <c r="B12" s="5" t="s">
        <v>14</v>
      </c>
      <c r="C12" s="3" t="s">
        <v>12</v>
      </c>
    </row>
    <row r="13" spans="1:3" x14ac:dyDescent="0.3">
      <c r="A13" s="4" t="s">
        <v>32</v>
      </c>
      <c r="B13" s="6" t="s">
        <v>13</v>
      </c>
      <c r="C13" s="4" t="s">
        <v>12</v>
      </c>
    </row>
    <row r="14" spans="1:3" x14ac:dyDescent="0.3">
      <c r="A14" s="3" t="s">
        <v>33</v>
      </c>
      <c r="B14" s="5" t="s">
        <v>16</v>
      </c>
      <c r="C14" s="3" t="s">
        <v>12</v>
      </c>
    </row>
    <row r="15" spans="1:3" x14ac:dyDescent="0.3">
      <c r="A15" s="4" t="s">
        <v>34</v>
      </c>
      <c r="B15" s="6" t="s">
        <v>35</v>
      </c>
      <c r="C15" s="4" t="s">
        <v>12</v>
      </c>
    </row>
    <row r="16" spans="1:3" x14ac:dyDescent="0.3">
      <c r="A16" s="9" t="s">
        <v>36</v>
      </c>
      <c r="B16" s="10" t="s">
        <v>14</v>
      </c>
      <c r="C16" s="9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9847-9975-4E35-929C-AD1BB7B45902}">
  <dimension ref="A1:B5"/>
  <sheetViews>
    <sheetView workbookViewId="0">
      <selection activeCell="M16" sqref="M16"/>
    </sheetView>
  </sheetViews>
  <sheetFormatPr baseColWidth="10" defaultRowHeight="14.4" x14ac:dyDescent="0.3"/>
  <cols>
    <col min="1" max="1" width="14.5546875" customWidth="1"/>
    <col min="2" max="2" width="17.88671875" customWidth="1"/>
  </cols>
  <sheetData>
    <row r="1" spans="1:2" x14ac:dyDescent="0.3">
      <c r="A1" s="7" t="s">
        <v>0</v>
      </c>
      <c r="B1" s="7" t="s">
        <v>1</v>
      </c>
    </row>
    <row r="2" spans="1:2" x14ac:dyDescent="0.3">
      <c r="A2" s="12">
        <v>46023</v>
      </c>
      <c r="B2" s="3" t="s">
        <v>9</v>
      </c>
    </row>
    <row r="3" spans="1:2" x14ac:dyDescent="0.3">
      <c r="A3" s="13">
        <v>46026</v>
      </c>
      <c r="B3" s="4" t="s">
        <v>17</v>
      </c>
    </row>
    <row r="4" spans="1:2" x14ac:dyDescent="0.3">
      <c r="A4" s="12">
        <v>46027</v>
      </c>
      <c r="B4" s="3" t="s">
        <v>20</v>
      </c>
    </row>
    <row r="5" spans="1:2" x14ac:dyDescent="0.3">
      <c r="A5" s="14">
        <v>46029</v>
      </c>
      <c r="B5" s="11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FACB-823A-4777-BB6F-A6C4001FF924}">
  <dimension ref="B3:B39"/>
  <sheetViews>
    <sheetView workbookViewId="0">
      <selection activeCell="B8" sqref="B8"/>
    </sheetView>
  </sheetViews>
  <sheetFormatPr baseColWidth="10" defaultRowHeight="14.4" x14ac:dyDescent="0.3"/>
  <cols>
    <col min="2" max="2" width="25.6640625" bestFit="1" customWidth="1"/>
  </cols>
  <sheetData>
    <row r="3" spans="2:2" x14ac:dyDescent="0.3">
      <c r="B3" s="15" t="s">
        <v>37</v>
      </c>
    </row>
    <row r="4" spans="2:2" x14ac:dyDescent="0.3">
      <c r="B4" s="16" t="s">
        <v>13</v>
      </c>
    </row>
    <row r="5" spans="2:2" x14ac:dyDescent="0.3">
      <c r="B5" s="17" t="s">
        <v>12</v>
      </c>
    </row>
    <row r="6" spans="2:2" x14ac:dyDescent="0.3">
      <c r="B6" s="18" t="s">
        <v>27</v>
      </c>
    </row>
    <row r="7" spans="2:2" x14ac:dyDescent="0.3">
      <c r="B7" s="18" t="s">
        <v>19</v>
      </c>
    </row>
    <row r="8" spans="2:2" x14ac:dyDescent="0.3">
      <c r="B8" s="18" t="s">
        <v>11</v>
      </c>
    </row>
    <row r="9" spans="2:2" x14ac:dyDescent="0.3">
      <c r="B9" s="18" t="s">
        <v>22</v>
      </c>
    </row>
    <row r="10" spans="2:2" x14ac:dyDescent="0.3">
      <c r="B10" s="18" t="s">
        <v>39</v>
      </c>
    </row>
    <row r="11" spans="2:2" x14ac:dyDescent="0.3">
      <c r="B11" s="16" t="s">
        <v>35</v>
      </c>
    </row>
    <row r="12" spans="2:2" x14ac:dyDescent="0.3">
      <c r="B12" s="17" t="s">
        <v>12</v>
      </c>
    </row>
    <row r="13" spans="2:2" x14ac:dyDescent="0.3">
      <c r="B13" s="18" t="s">
        <v>27</v>
      </c>
    </row>
    <row r="14" spans="2:2" x14ac:dyDescent="0.3">
      <c r="B14" s="18" t="s">
        <v>19</v>
      </c>
    </row>
    <row r="15" spans="2:2" x14ac:dyDescent="0.3">
      <c r="B15" s="18" t="s">
        <v>11</v>
      </c>
    </row>
    <row r="16" spans="2:2" x14ac:dyDescent="0.3">
      <c r="B16" s="18" t="s">
        <v>22</v>
      </c>
    </row>
    <row r="17" spans="2:2" x14ac:dyDescent="0.3">
      <c r="B17" s="18" t="s">
        <v>39</v>
      </c>
    </row>
    <row r="18" spans="2:2" x14ac:dyDescent="0.3">
      <c r="B18" s="16" t="s">
        <v>25</v>
      </c>
    </row>
    <row r="19" spans="2:2" x14ac:dyDescent="0.3">
      <c r="B19" s="17" t="s">
        <v>12</v>
      </c>
    </row>
    <row r="20" spans="2:2" x14ac:dyDescent="0.3">
      <c r="B20" s="18" t="s">
        <v>27</v>
      </c>
    </row>
    <row r="21" spans="2:2" x14ac:dyDescent="0.3">
      <c r="B21" s="18" t="s">
        <v>19</v>
      </c>
    </row>
    <row r="22" spans="2:2" x14ac:dyDescent="0.3">
      <c r="B22" s="18" t="s">
        <v>11</v>
      </c>
    </row>
    <row r="23" spans="2:2" x14ac:dyDescent="0.3">
      <c r="B23" s="18" t="s">
        <v>22</v>
      </c>
    </row>
    <row r="24" spans="2:2" x14ac:dyDescent="0.3">
      <c r="B24" s="18" t="s">
        <v>39</v>
      </c>
    </row>
    <row r="25" spans="2:2" x14ac:dyDescent="0.3">
      <c r="B25" s="16" t="s">
        <v>16</v>
      </c>
    </row>
    <row r="26" spans="2:2" x14ac:dyDescent="0.3">
      <c r="B26" s="17" t="s">
        <v>12</v>
      </c>
    </row>
    <row r="27" spans="2:2" x14ac:dyDescent="0.3">
      <c r="B27" s="18" t="s">
        <v>27</v>
      </c>
    </row>
    <row r="28" spans="2:2" x14ac:dyDescent="0.3">
      <c r="B28" s="18" t="s">
        <v>19</v>
      </c>
    </row>
    <row r="29" spans="2:2" x14ac:dyDescent="0.3">
      <c r="B29" s="18" t="s">
        <v>11</v>
      </c>
    </row>
    <row r="30" spans="2:2" x14ac:dyDescent="0.3">
      <c r="B30" s="18" t="s">
        <v>22</v>
      </c>
    </row>
    <row r="31" spans="2:2" x14ac:dyDescent="0.3">
      <c r="B31" s="18" t="s">
        <v>39</v>
      </c>
    </row>
    <row r="32" spans="2:2" x14ac:dyDescent="0.3">
      <c r="B32" s="16" t="s">
        <v>14</v>
      </c>
    </row>
    <row r="33" spans="2:2" x14ac:dyDescent="0.3">
      <c r="B33" s="17" t="s">
        <v>12</v>
      </c>
    </row>
    <row r="34" spans="2:2" x14ac:dyDescent="0.3">
      <c r="B34" s="18" t="s">
        <v>27</v>
      </c>
    </row>
    <row r="35" spans="2:2" x14ac:dyDescent="0.3">
      <c r="B35" s="18" t="s">
        <v>19</v>
      </c>
    </row>
    <row r="36" spans="2:2" x14ac:dyDescent="0.3">
      <c r="B36" s="18" t="s">
        <v>11</v>
      </c>
    </row>
    <row r="37" spans="2:2" x14ac:dyDescent="0.3">
      <c r="B37" s="18" t="s">
        <v>22</v>
      </c>
    </row>
    <row r="38" spans="2:2" x14ac:dyDescent="0.3">
      <c r="B38" s="18" t="s">
        <v>39</v>
      </c>
    </row>
    <row r="39" spans="2:2" x14ac:dyDescent="0.3">
      <c r="B39" s="16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DA98-DD93-4975-905D-5C8C60D3DC20}">
  <sheetPr>
    <outlinePr summaryBelow="0"/>
  </sheetPr>
  <dimension ref="B1:G11"/>
  <sheetViews>
    <sheetView showGridLines="0" workbookViewId="0"/>
  </sheetViews>
  <sheetFormatPr baseColWidth="10" defaultRowHeight="14.4" outlineLevelRow="1" outlineLevelCol="1" x14ac:dyDescent="0.3"/>
  <cols>
    <col min="3" max="3" width="6.109375" bestFit="1" customWidth="1"/>
    <col min="4" max="7" width="13.88671875" bestFit="1" customWidth="1" outlineLevel="1"/>
  </cols>
  <sheetData>
    <row r="1" spans="2:7" ht="15" thickBot="1" x14ac:dyDescent="0.35"/>
    <row r="2" spans="2:7" ht="15.6" x14ac:dyDescent="0.3">
      <c r="B2" s="32" t="s">
        <v>55</v>
      </c>
      <c r="C2" s="32"/>
      <c r="D2" s="37"/>
      <c r="E2" s="37"/>
      <c r="F2" s="37"/>
      <c r="G2" s="37"/>
    </row>
    <row r="3" spans="2:7" ht="15.6" collapsed="1" x14ac:dyDescent="0.3">
      <c r="B3" s="31"/>
      <c r="C3" s="31"/>
      <c r="D3" s="38" t="s">
        <v>57</v>
      </c>
      <c r="E3" s="38" t="s">
        <v>51</v>
      </c>
      <c r="F3" s="38" t="s">
        <v>53</v>
      </c>
      <c r="G3" s="38" t="s">
        <v>54</v>
      </c>
    </row>
    <row r="4" spans="2:7" ht="21.6" hidden="1" outlineLevel="1" x14ac:dyDescent="0.3">
      <c r="B4" s="34"/>
      <c r="C4" s="34"/>
      <c r="E4" s="40" t="s">
        <v>52</v>
      </c>
      <c r="F4" s="40" t="s">
        <v>52</v>
      </c>
      <c r="G4" s="40" t="s">
        <v>52</v>
      </c>
    </row>
    <row r="5" spans="2:7" x14ac:dyDescent="0.3">
      <c r="B5" s="35" t="s">
        <v>56</v>
      </c>
      <c r="C5" s="35"/>
      <c r="D5" s="33"/>
      <c r="E5" s="33"/>
      <c r="F5" s="33"/>
      <c r="G5" s="33"/>
    </row>
    <row r="6" spans="2:7" outlineLevel="1" x14ac:dyDescent="0.3">
      <c r="B6" s="34"/>
      <c r="C6" s="34" t="s">
        <v>50</v>
      </c>
      <c r="D6">
        <v>0.1</v>
      </c>
      <c r="E6" s="39">
        <v>-0.1</v>
      </c>
      <c r="F6" s="39">
        <v>0</v>
      </c>
      <c r="G6" s="39">
        <v>0.1</v>
      </c>
    </row>
    <row r="7" spans="2:7" x14ac:dyDescent="0.3">
      <c r="B7" s="35" t="s">
        <v>58</v>
      </c>
      <c r="C7" s="35"/>
      <c r="D7" s="33"/>
      <c r="E7" s="33"/>
      <c r="F7" s="33"/>
      <c r="G7" s="33"/>
    </row>
    <row r="8" spans="2:7" ht="15" outlineLevel="1" thickBot="1" x14ac:dyDescent="0.35">
      <c r="B8" s="36"/>
      <c r="C8" s="36" t="s">
        <v>50</v>
      </c>
      <c r="D8" s="30">
        <v>0.1</v>
      </c>
      <c r="E8" s="30">
        <v>-0.1</v>
      </c>
      <c r="F8" s="30">
        <v>0</v>
      </c>
      <c r="G8" s="30">
        <v>0.1</v>
      </c>
    </row>
    <row r="9" spans="2:7" x14ac:dyDescent="0.3">
      <c r="B9" t="s">
        <v>59</v>
      </c>
    </row>
    <row r="10" spans="2:7" x14ac:dyDescent="0.3">
      <c r="B10" t="s">
        <v>60</v>
      </c>
    </row>
    <row r="11" spans="2:7" x14ac:dyDescent="0.3">
      <c r="B11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3446-0035-4512-9045-B0B4C7F5B8E3}">
  <dimension ref="A1:B23"/>
  <sheetViews>
    <sheetView workbookViewId="0">
      <selection activeCell="C19" sqref="C19"/>
    </sheetView>
  </sheetViews>
  <sheetFormatPr baseColWidth="10" defaultRowHeight="14.4" x14ac:dyDescent="0.3"/>
  <cols>
    <col min="1" max="1" width="17" customWidth="1"/>
    <col min="2" max="2" width="23.21875" customWidth="1"/>
  </cols>
  <sheetData>
    <row r="1" spans="1:2" x14ac:dyDescent="0.3">
      <c r="A1" s="2" t="s">
        <v>5</v>
      </c>
    </row>
    <row r="2" spans="1:2" x14ac:dyDescent="0.3">
      <c r="A2" s="27">
        <v>838188</v>
      </c>
    </row>
    <row r="3" spans="1:2" x14ac:dyDescent="0.3">
      <c r="A3" s="28">
        <v>426039</v>
      </c>
    </row>
    <row r="4" spans="1:2" x14ac:dyDescent="0.3">
      <c r="A4" s="27">
        <v>289599</v>
      </c>
    </row>
    <row r="5" spans="1:2" x14ac:dyDescent="0.3">
      <c r="A5" s="28">
        <v>519345</v>
      </c>
    </row>
    <row r="14" spans="1:2" x14ac:dyDescent="0.3">
      <c r="A14" t="s">
        <v>42</v>
      </c>
      <c r="B14" s="22">
        <f>AVERAGE(A2:A5)</f>
        <v>518292.75</v>
      </c>
    </row>
    <row r="15" spans="1:2" x14ac:dyDescent="0.3">
      <c r="A15" t="s">
        <v>46</v>
      </c>
      <c r="B15" s="22">
        <f>MEDIAN(A2:A5)</f>
        <v>472692</v>
      </c>
    </row>
    <row r="16" spans="1:2" x14ac:dyDescent="0.3">
      <c r="A16" t="s">
        <v>47</v>
      </c>
      <c r="B16">
        <f>_xlfn.STDEV.S(A2:A5)</f>
        <v>233199.24519657006</v>
      </c>
    </row>
    <row r="17" spans="1:2" x14ac:dyDescent="0.3">
      <c r="A17" t="s">
        <v>48</v>
      </c>
      <c r="B17" s="22">
        <f>MAX(A2:A5)-MIN(A2:A5)</f>
        <v>548589</v>
      </c>
    </row>
    <row r="23" spans="1:2" x14ac:dyDescent="0.3">
      <c r="A23" s="29">
        <v>0.1</v>
      </c>
      <c r="B23" t="s">
        <v>49</v>
      </c>
    </row>
  </sheetData>
  <scenarios current="2" show="2" sqref="A23">
    <scenario name="PESIMISTA" locked="1" count="1" user="ludmila ardiles" comment="Creado por ludmila ardiles el 25/10/2026">
      <inputCells r="A23" val="-0,1"/>
    </scenario>
    <scenario name="BASE" locked="1" count="1" user="ludmila ardiles" comment="Creado por ludmila ardiles el 25/10/2026">
      <inputCells r="A23" val="0"/>
    </scenario>
    <scenario name="OPTIMISTA" locked="1" count="1" user="ludmila ardiles" comment="Creado por ludmila ardiles el 25/10/2026">
      <inputCells r="A23" val="0,1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4211-30EB-4A62-9954-0093D8A0C2A2}">
  <dimension ref="B2:D27"/>
  <sheetViews>
    <sheetView showGridLines="0" workbookViewId="0">
      <selection activeCell="D13" sqref="D13"/>
    </sheetView>
  </sheetViews>
  <sheetFormatPr baseColWidth="10" defaultRowHeight="14.4" x14ac:dyDescent="0.3"/>
  <cols>
    <col min="2" max="2" width="32.6640625" customWidth="1"/>
    <col min="3" max="3" width="24.109375" customWidth="1"/>
    <col min="4" max="4" width="21.6640625" customWidth="1"/>
  </cols>
  <sheetData>
    <row r="2" spans="2:4" x14ac:dyDescent="0.3">
      <c r="B2" s="42" t="s">
        <v>62</v>
      </c>
    </row>
    <row r="5" spans="2:4" x14ac:dyDescent="0.3">
      <c r="B5" s="41" t="s">
        <v>63</v>
      </c>
      <c r="C5" s="41" t="s">
        <v>64</v>
      </c>
      <c r="D5" s="41" t="s">
        <v>65</v>
      </c>
    </row>
    <row r="6" spans="2:4" x14ac:dyDescent="0.3">
      <c r="B6" s="45"/>
      <c r="C6" s="45"/>
      <c r="D6" s="45"/>
    </row>
    <row r="7" spans="2:4" x14ac:dyDescent="0.3">
      <c r="B7" s="45"/>
      <c r="C7" s="45"/>
      <c r="D7" s="45"/>
    </row>
    <row r="8" spans="2:4" x14ac:dyDescent="0.3">
      <c r="B8" s="45"/>
      <c r="C8" s="45"/>
      <c r="D8" s="45"/>
    </row>
    <row r="9" spans="2:4" x14ac:dyDescent="0.3">
      <c r="B9" s="41" t="s">
        <v>66</v>
      </c>
    </row>
    <row r="10" spans="2:4" x14ac:dyDescent="0.3">
      <c r="B10" s="45"/>
    </row>
    <row r="11" spans="2:4" x14ac:dyDescent="0.3">
      <c r="B11" s="45"/>
    </row>
    <row r="12" spans="2:4" x14ac:dyDescent="0.3">
      <c r="B12" s="45"/>
    </row>
    <row r="13" spans="2:4" x14ac:dyDescent="0.3">
      <c r="B13" s="45"/>
    </row>
    <row r="14" spans="2:4" x14ac:dyDescent="0.3">
      <c r="B14" s="45"/>
    </row>
    <row r="15" spans="2:4" x14ac:dyDescent="0.3">
      <c r="B15" s="45"/>
    </row>
    <row r="16" spans="2:4" x14ac:dyDescent="0.3">
      <c r="B16" s="45"/>
    </row>
    <row r="17" spans="2:2" x14ac:dyDescent="0.3">
      <c r="B17" s="45"/>
    </row>
    <row r="18" spans="2:2" x14ac:dyDescent="0.3">
      <c r="B18" s="45"/>
    </row>
    <row r="19" spans="2:2" x14ac:dyDescent="0.3">
      <c r="B19" s="45"/>
    </row>
    <row r="20" spans="2:2" x14ac:dyDescent="0.3">
      <c r="B20" s="45"/>
    </row>
    <row r="21" spans="2:2" x14ac:dyDescent="0.3">
      <c r="B21" s="45"/>
    </row>
    <row r="22" spans="2:2" x14ac:dyDescent="0.3">
      <c r="B22" s="41" t="s">
        <v>67</v>
      </c>
    </row>
    <row r="23" spans="2:2" x14ac:dyDescent="0.3">
      <c r="B23" s="45"/>
    </row>
    <row r="24" spans="2:2" x14ac:dyDescent="0.3">
      <c r="B24" s="45"/>
    </row>
    <row r="25" spans="2:2" x14ac:dyDescent="0.3">
      <c r="B25" s="45"/>
    </row>
    <row r="26" spans="2:2" x14ac:dyDescent="0.3">
      <c r="B26" s="45"/>
    </row>
    <row r="27" spans="2:2" x14ac:dyDescent="0.3">
      <c r="B27" s="45"/>
    </row>
  </sheetData>
  <mergeCells count="5">
    <mergeCell ref="B6:B8"/>
    <mergeCell ref="C6:C8"/>
    <mergeCell ref="D6:D8"/>
    <mergeCell ref="B10:B21"/>
    <mergeCell ref="B23:B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830B08F-50B2-45E6-BF48-B3C102921004}">
  <ds:schemaRefs/>
</ds:datastoreItem>
</file>

<file path=customXml/itemProps2.xml><?xml version="1.0" encoding="utf-8"?>
<ds:datastoreItem xmlns:ds="http://schemas.openxmlformats.org/officeDocument/2006/customXml" ds:itemID="{44573D94-B213-430F-9FFB-1DE8CB2AFFAE}">
  <ds:schemaRefs/>
</ds:datastoreItem>
</file>

<file path=customXml/itemProps3.xml><?xml version="1.0" encoding="utf-8"?>
<ds:datastoreItem xmlns:ds="http://schemas.openxmlformats.org/officeDocument/2006/customXml" ds:itemID="{398BD640-F8CF-403D-A756-3E66388534AA}">
  <ds:schemaRefs/>
</ds:datastoreItem>
</file>

<file path=customXml/itemProps4.xml><?xml version="1.0" encoding="utf-8"?>
<ds:datastoreItem xmlns:ds="http://schemas.openxmlformats.org/officeDocument/2006/customXml" ds:itemID="{C094C60C-2578-41E1-92F2-DF1140B1DCD2}">
  <ds:schemaRefs/>
</ds:datastoreItem>
</file>

<file path=customXml/itemProps5.xml><?xml version="1.0" encoding="utf-8"?>
<ds:datastoreItem xmlns:ds="http://schemas.openxmlformats.org/officeDocument/2006/customXml" ds:itemID="{DB89B451-D1EF-48D6-9282-B33C456E0317}">
  <ds:schemaRefs/>
</ds:datastoreItem>
</file>

<file path=customXml/itemProps6.xml><?xml version="1.0" encoding="utf-8"?>
<ds:datastoreItem xmlns:ds="http://schemas.openxmlformats.org/officeDocument/2006/customXml" ds:itemID="{7527EF94-3ADF-49FD-B6F9-EA481DF35391}">
  <ds:schemaRefs/>
</ds:datastoreItem>
</file>

<file path=customXml/itemProps7.xml><?xml version="1.0" encoding="utf-8"?>
<ds:datastoreItem xmlns:ds="http://schemas.openxmlformats.org/officeDocument/2006/customXml" ds:itemID="{83936FE0-BA89-493B-B97D-D372C6567B8D}">
  <ds:schemaRefs/>
</ds:datastoreItem>
</file>

<file path=customXml/itemProps8.xml><?xml version="1.0" encoding="utf-8"?>
<ds:datastoreItem xmlns:ds="http://schemas.openxmlformats.org/officeDocument/2006/customXml" ds:itemID="{CB9F6787-57EC-466F-8F1A-1713B036458A}">
  <ds:schemaRefs/>
</ds:datastoreItem>
</file>

<file path=customXml/itemProps9.xml><?xml version="1.0" encoding="utf-8"?>
<ds:datastoreItem xmlns:ds="http://schemas.openxmlformats.org/officeDocument/2006/customXml" ds:itemID="{EF4826C5-209E-4A98-802E-D8C9472E6319}">
  <ds:schemaRefs/>
</ds:datastoreItem>
</file>

<file path=customXml/itemProps10.xml><?xml version="1.0" encoding="utf-8"?>
<ds:datastoreItem xmlns:ds="http://schemas.openxmlformats.org/officeDocument/2006/customXml" ds:itemID="{3D516112-D8FB-4968-B08D-62E15B816123}">
  <ds:schemaRefs/>
</ds:datastoreItem>
</file>

<file path=customXml/itemProps11.xml><?xml version="1.0" encoding="utf-8"?>
<ds:datastoreItem xmlns:ds="http://schemas.openxmlformats.org/officeDocument/2006/customXml" ds:itemID="{AB807016-1C0F-417F-B359-41229EDFB8DC}">
  <ds:schemaRefs/>
</ds:datastoreItem>
</file>

<file path=customXml/itemProps12.xml><?xml version="1.0" encoding="utf-8"?>
<ds:datastoreItem xmlns:ds="http://schemas.openxmlformats.org/officeDocument/2006/customXml" ds:itemID="{7A9D57D9-5B9C-4AB5-9B41-F36E9AC88184}">
  <ds:schemaRefs/>
</ds:datastoreItem>
</file>

<file path=customXml/itemProps13.xml><?xml version="1.0" encoding="utf-8"?>
<ds:datastoreItem xmlns:ds="http://schemas.openxmlformats.org/officeDocument/2006/customXml" ds:itemID="{C2850B92-A696-4C78-A3E4-5A35E46DC22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FF6372B4-7540-4CEA-868F-8744BC5477A8}">
  <ds:schemaRefs/>
</ds:datastoreItem>
</file>

<file path=customXml/itemProps15.xml><?xml version="1.0" encoding="utf-8"?>
<ds:datastoreItem xmlns:ds="http://schemas.openxmlformats.org/officeDocument/2006/customXml" ds:itemID="{38350A18-768E-46A4-8536-9AC5A7E5E315}">
  <ds:schemaRefs/>
</ds:datastoreItem>
</file>

<file path=customXml/itemProps16.xml><?xml version="1.0" encoding="utf-8"?>
<ds:datastoreItem xmlns:ds="http://schemas.openxmlformats.org/officeDocument/2006/customXml" ds:itemID="{AE152CCF-1903-4B6E-94BB-A6CEBBE62A4C}">
  <ds:schemaRefs/>
</ds:datastoreItem>
</file>

<file path=customXml/itemProps17.xml><?xml version="1.0" encoding="utf-8"?>
<ds:datastoreItem xmlns:ds="http://schemas.openxmlformats.org/officeDocument/2006/customXml" ds:itemID="{19939D76-E941-4070-9547-243B33DAF66E}">
  <ds:schemaRefs/>
</ds:datastoreItem>
</file>

<file path=customXml/itemProps18.xml><?xml version="1.0" encoding="utf-8"?>
<ds:datastoreItem xmlns:ds="http://schemas.openxmlformats.org/officeDocument/2006/customXml" ds:itemID="{FAC31B00-84AC-45E4-A3FD-CF9E979EFFAF}">
  <ds:schemaRefs/>
</ds:datastoreItem>
</file>

<file path=customXml/itemProps19.xml><?xml version="1.0" encoding="utf-8"?>
<ds:datastoreItem xmlns:ds="http://schemas.openxmlformats.org/officeDocument/2006/customXml" ds:itemID="{A50FC073-AFE6-4400-850E-9ADF4E0BDFE1}">
  <ds:schemaRefs/>
</ds:datastoreItem>
</file>

<file path=customXml/itemProps20.xml><?xml version="1.0" encoding="utf-8"?>
<ds:datastoreItem xmlns:ds="http://schemas.openxmlformats.org/officeDocument/2006/customXml" ds:itemID="{81E4643D-3AFC-4089-AAD0-82760D985162}">
  <ds:schemaRefs/>
</ds:datastoreItem>
</file>

<file path=customXml/itemProps21.xml><?xml version="1.0" encoding="utf-8"?>
<ds:datastoreItem xmlns:ds="http://schemas.openxmlformats.org/officeDocument/2006/customXml" ds:itemID="{B00819A4-80B4-4470-964D-3B6699A174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Hoja2</vt:lpstr>
      <vt:lpstr>Hechos</vt:lpstr>
      <vt:lpstr>Dim- Cliente</vt:lpstr>
      <vt:lpstr>Dim-Productos</vt:lpstr>
      <vt:lpstr>Calendario</vt:lpstr>
      <vt:lpstr>Tabla dinamica</vt:lpstr>
      <vt:lpstr>Resumen del escenario</vt:lpstr>
      <vt:lpstr>Estadisticas</vt:lpstr>
      <vt:lpstr>DASHBOARD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ardiles</dc:creator>
  <cp:lastModifiedBy>ludmila ardiles</cp:lastModifiedBy>
  <dcterms:created xsi:type="dcterms:W3CDTF">2026-10-25T14:44:19Z</dcterms:created>
  <dcterms:modified xsi:type="dcterms:W3CDTF">2026-10-28T21:33:54Z</dcterms:modified>
</cp:coreProperties>
</file>